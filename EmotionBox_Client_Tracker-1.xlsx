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  <sheet name="Dashboard" sheetId="2" state="visible" r:id="rId4"/>
    <sheet name="Packages &amp; Gif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<sst xmlns="http://schemas.openxmlformats.org/spreadsheetml/2006/main" count="51" uniqueCount="49">
  <si>
    <t xml:space="preserve">Emotion Box — Client Tracker</t>
  </si>
  <si>
    <t xml:space="preserve">Fill in one row per client. Columns marked with * have a dropdown — click the cell and choose from the list.</t>
  </si>
  <si>
    <t xml:space="preserve">Client Name</t>
  </si>
  <si>
    <t xml:space="preserve">Phone / WhatsApp</t>
  </si>
  <si>
    <t xml:space="preserve">Occasion *</t>
  </si>
  <si>
    <t xml:space="preserve">Event Date</t>
  </si>
  <si>
    <t xml:space="preserve">Location</t>
  </si>
  <si>
    <t xml:space="preserve">Package *</t>
  </si>
  <si>
    <t xml:space="preserve">Price (€)</t>
  </si>
  <si>
    <t xml:space="preserve">Deposit Paid (€)</t>
  </si>
  <si>
    <t xml:space="preserve">Balance Due (€)</t>
  </si>
  <si>
    <t xml:space="preserve">Gift Cost (€)</t>
  </si>
  <si>
    <t xml:space="preserve">Net Profit (€)</t>
  </si>
  <si>
    <t xml:space="preserve">Status *</t>
  </si>
  <si>
    <t xml:space="preserve">Gift Bought By *</t>
  </si>
  <si>
    <t xml:space="preserve">Notes</t>
  </si>
  <si>
    <t xml:space="preserve">Maria Georgiou</t>
  </si>
  <si>
    <t xml:space="preserve">+357 99 123 456</t>
  </si>
  <si>
    <t xml:space="preserve">Birthday</t>
  </si>
  <si>
    <t xml:space="preserve">2026-09-20</t>
  </si>
  <si>
    <t xml:space="preserve">Limassol</t>
  </si>
  <si>
    <t xml:space="preserve">Gold</t>
  </si>
  <si>
    <t xml:space="preserve">Confirmed</t>
  </si>
  <si>
    <t xml:space="preserve">Emotion Box</t>
  </si>
  <si>
    <t xml:space="preserve">Wants a violinist if possible</t>
  </si>
  <si>
    <t xml:space="preserve">Emotion Box — Overview</t>
  </si>
  <si>
    <t xml:space="preserve">Total bookings</t>
  </si>
  <si>
    <t xml:space="preserve">Confirmed events</t>
  </si>
  <si>
    <t xml:space="preserve">Completed events</t>
  </si>
  <si>
    <t xml:space="preserve">Total revenue booked (€)</t>
  </si>
  <si>
    <t xml:space="preserve">Total deposits received (€)</t>
  </si>
  <si>
    <t xml:space="preserve">Total balance still due (€)</t>
  </si>
  <si>
    <t xml:space="preserve">Total gift costs (€)</t>
  </si>
  <si>
    <t xml:space="preserve">Total net profit (€)</t>
  </si>
  <si>
    <t xml:space="preserve">Silver packages sold</t>
  </si>
  <si>
    <t xml:space="preserve">Gold packages sold</t>
  </si>
  <si>
    <t xml:space="preserve">Royal packages sold</t>
  </si>
  <si>
    <t xml:space="preserve">Emotion Box — Launch Pricing &amp; Gift Reference</t>
  </si>
  <si>
    <t xml:space="preserve">Launch prices (testing phase). Target prices in brackets, to reach once you have 5-10 completed events.</t>
  </si>
  <si>
    <t xml:space="preserve">Package</t>
  </si>
  <si>
    <t xml:space="preserve">Launch Price (€)</t>
  </si>
  <si>
    <t xml:space="preserve">Target Price (€)</t>
  </si>
  <si>
    <t xml:space="preserve">Suggested Gift</t>
  </si>
  <si>
    <t xml:space="preserve">Silver</t>
  </si>
  <si>
    <t xml:space="preserve">Small bouquet or scented candle + card</t>
  </si>
  <si>
    <t xml:space="preserve">Fuller bouquet or sparkling wine + chocolates</t>
  </si>
  <si>
    <t xml:space="preserve">Royal</t>
  </si>
  <si>
    <t xml:space="preserve">Champagne + premium bouquet (+ cigars optional)</t>
  </si>
  <si>
    <t xml:space="preserve">Tip: buy candles, chocolates, and sparkling wine in bulk at a cash &amp; carry to save time and money. Only buy fresh flowers per event.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</si>
</sst>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;;;"/>
    <numFmt numFmtId="166" formatCode="\€#,##0;&quot;-€&quot;#,##0;;"/>
    <numFmt numFmtId="167" formatCode="General"/>
    <numFmt numFmtId="168" formatCode="\€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D0F1C"/>
      <name val="Calibri"/>
      <family val="0"/>
      <charset val="1"/>
    </font>
    <font>
      <i val="true"/>
      <sz val="10"/>
      <color rgb="FF6B5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.5"/>
      <color rgb="FF8A7860"/>
      <name val="Calibri"/>
      <family val="0"/>
      <charset val="1"/>
    </font>
    <font>
      <sz val="10.5"/>
      <name val="Calibri"/>
      <family val="0"/>
      <charset val="1"/>
    </font>
    <font>
      <b val="true"/>
      <sz val="11"/>
      <color rgb="FF3D0F1C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D0F1C"/>
        <bgColor rgb="FF333300"/>
      </patternFill>
    </fill>
    <fill>
      <patternFill patternType="solid">
        <fgColor rgb="FFFBF6EA"/>
        <bgColor rgb="FFF7F1E6"/>
      </patternFill>
    </fill>
    <fill>
      <patternFill patternType="solid">
        <fgColor rgb="FFF7F1E6"/>
        <bgColor rgb="FFFBF6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3C0"/>
      </left>
      <right style="thin">
        <color rgb="FFDDD3C0"/>
      </right>
      <top style="thin">
        <color rgb="FFDDD3C0"/>
      </top>
      <bottom style="thin">
        <color rgb="FFDDD3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3C0"/>
      <rgbColor rgb="FF8A7860"/>
      <rgbColor rgb="FF9999FF"/>
      <rgbColor rgb="FF993366"/>
      <rgbColor rgb="FFFBF6EA"/>
      <rgbColor rgb="FFF7F1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A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0F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5" t="s">
        <v>19</v>
      </c>
      <c r="E5" s="4" t="s">
        <v>20</v>
      </c>
      <c r="F5" s="4" t="s">
        <v>21</v>
      </c>
      <c r="G5" s="6" t="n">
        <v>270</v>
      </c>
      <c r="H5" s="6" t="n">
        <v>100</v>
      </c>
      <c r="I5" s="6" t="n">
        <f aca="false">G5-H5</f>
        <v>170</v>
      </c>
      <c r="J5" s="6" t="n">
        <v>35</v>
      </c>
      <c r="K5" s="6" t="n">
        <f aca="false">G5-J5</f>
        <v>235</v>
      </c>
      <c r="L5" s="4" t="s">
        <v>22</v>
      </c>
      <c r="M5" s="4" t="s">
        <v>23</v>
      </c>
      <c r="N5" s="4" t="s">
        <v>24</v>
      </c>
    </row>
    <row r="6" customFormat="false" ht="15" hidden="false" customHeight="false" outlineLevel="0" collapsed="false">
      <c r="A6" s="7"/>
      <c r="B6" s="7"/>
      <c r="C6" s="8"/>
      <c r="D6" s="9"/>
      <c r="E6" s="7"/>
      <c r="F6" s="8"/>
      <c r="G6" s="10"/>
      <c r="H6" s="10"/>
      <c r="I6" s="10" t="n">
        <f aca="false">G6-H6</f>
        <v>0</v>
      </c>
      <c r="J6" s="10"/>
      <c r="K6" s="10" t="n">
        <f aca="false">G6-J6</f>
        <v>0</v>
      </c>
      <c r="L6" s="8"/>
      <c r="M6" s="8"/>
      <c r="N6" s="7"/>
    </row>
    <row r="7" customFormat="false" ht="15" hidden="false" customHeight="false" outlineLevel="0" collapsed="false">
      <c r="A7" s="7"/>
      <c r="B7" s="7"/>
      <c r="C7" s="8"/>
      <c r="D7" s="9"/>
      <c r="E7" s="7"/>
      <c r="F7" s="8"/>
      <c r="G7" s="10"/>
      <c r="H7" s="10"/>
      <c r="I7" s="10" t="n">
        <f aca="false">G7-H7</f>
        <v>0</v>
      </c>
      <c r="J7" s="10"/>
      <c r="K7" s="10" t="n">
        <f aca="false">G7-J7</f>
        <v>0</v>
      </c>
      <c r="L7" s="8"/>
      <c r="M7" s="8"/>
      <c r="N7" s="7"/>
    </row>
    <row r="8" customFormat="false" ht="15" hidden="false" customHeight="false" outlineLevel="0" collapsed="false">
      <c r="A8" s="7"/>
      <c r="B8" s="7"/>
      <c r="C8" s="8"/>
      <c r="D8" s="9"/>
      <c r="E8" s="7"/>
      <c r="F8" s="8"/>
      <c r="G8" s="10"/>
      <c r="H8" s="10"/>
      <c r="I8" s="10" t="n">
        <f aca="false">G8-H8</f>
        <v>0</v>
      </c>
      <c r="J8" s="10"/>
      <c r="K8" s="10" t="n">
        <f aca="false">G8-J8</f>
        <v>0</v>
      </c>
      <c r="L8" s="8"/>
      <c r="M8" s="8"/>
      <c r="N8" s="7"/>
    </row>
    <row r="9" customFormat="false" ht="15" hidden="false" customHeight="false" outlineLevel="0" collapsed="false">
      <c r="A9" s="7"/>
      <c r="B9" s="7"/>
      <c r="C9" s="8"/>
      <c r="D9" s="9"/>
      <c r="E9" s="7"/>
      <c r="F9" s="8"/>
      <c r="G9" s="10"/>
      <c r="H9" s="10"/>
      <c r="I9" s="10" t="n">
        <f aca="false">G9-H9</f>
        <v>0</v>
      </c>
      <c r="J9" s="10"/>
      <c r="K9" s="10" t="n">
        <f aca="false">G9-J9</f>
        <v>0</v>
      </c>
      <c r="L9" s="8"/>
      <c r="M9" s="8"/>
      <c r="N9" s="7"/>
    </row>
    <row r="10" customFormat="false" ht="15" hidden="false" customHeight="false" outlineLevel="0" collapsed="false">
      <c r="A10" s="7"/>
      <c r="B10" s="7"/>
      <c r="C10" s="8"/>
      <c r="D10" s="9"/>
      <c r="E10" s="7"/>
      <c r="F10" s="8"/>
      <c r="G10" s="10"/>
      <c r="H10" s="10"/>
      <c r="I10" s="10" t="n">
        <f aca="false">G10-H10</f>
        <v>0</v>
      </c>
      <c r="J10" s="10"/>
      <c r="K10" s="10" t="n">
        <f aca="false">G10-J10</f>
        <v>0</v>
      </c>
      <c r="L10" s="8"/>
      <c r="M10" s="8"/>
      <c r="N10" s="7"/>
    </row>
    <row r="11" customFormat="false" ht="15" hidden="false" customHeight="false" outlineLevel="0" collapsed="false">
      <c r="A11" s="7"/>
      <c r="B11" s="7"/>
      <c r="C11" s="8"/>
      <c r="D11" s="9"/>
      <c r="E11" s="7"/>
      <c r="F11" s="8"/>
      <c r="G11" s="10"/>
      <c r="H11" s="10"/>
      <c r="I11" s="10" t="n">
        <f aca="false">G11-H11</f>
        <v>0</v>
      </c>
      <c r="J11" s="10"/>
      <c r="K11" s="10" t="n">
        <f aca="false">G11-J11</f>
        <v>0</v>
      </c>
      <c r="L11" s="8"/>
      <c r="M11" s="8"/>
      <c r="N11" s="7"/>
    </row>
    <row r="12" customFormat="false" ht="15" hidden="false" customHeight="false" outlineLevel="0" collapsed="false">
      <c r="A12" s="7"/>
      <c r="B12" s="7"/>
      <c r="C12" s="8"/>
      <c r="D12" s="9"/>
      <c r="E12" s="7"/>
      <c r="F12" s="8"/>
      <c r="G12" s="10"/>
      <c r="H12" s="10"/>
      <c r="I12" s="10" t="n">
        <f aca="false">G12-H12</f>
        <v>0</v>
      </c>
      <c r="J12" s="10"/>
      <c r="K12" s="10" t="n">
        <f aca="false">G12-J12</f>
        <v>0</v>
      </c>
      <c r="L12" s="8"/>
      <c r="M12" s="8"/>
      <c r="N12" s="7"/>
    </row>
    <row r="13" customFormat="false" ht="15" hidden="false" customHeight="false" outlineLevel="0" collapsed="false">
      <c r="A13" s="7"/>
      <c r="B13" s="7"/>
      <c r="C13" s="8"/>
      <c r="D13" s="9"/>
      <c r="E13" s="7"/>
      <c r="F13" s="8"/>
      <c r="G13" s="10"/>
      <c r="H13" s="10"/>
      <c r="I13" s="10" t="n">
        <f aca="false">G13-H13</f>
        <v>0</v>
      </c>
      <c r="J13" s="10"/>
      <c r="K13" s="10" t="n">
        <f aca="false">G13-J13</f>
        <v>0</v>
      </c>
      <c r="L13" s="8"/>
      <c r="M13" s="8"/>
      <c r="N13" s="7"/>
    </row>
    <row r="14" customFormat="false" ht="15" hidden="false" customHeight="false" outlineLevel="0" collapsed="false">
      <c r="A14" s="7"/>
      <c r="B14" s="7"/>
      <c r="C14" s="8"/>
      <c r="D14" s="9"/>
      <c r="E14" s="7"/>
      <c r="F14" s="8"/>
      <c r="G14" s="10"/>
      <c r="H14" s="10"/>
      <c r="I14" s="10" t="n">
        <f aca="false">G14-H14</f>
        <v>0</v>
      </c>
      <c r="J14" s="10"/>
      <c r="K14" s="10" t="n">
        <f aca="false">G14-J14</f>
        <v>0</v>
      </c>
      <c r="L14" s="8"/>
      <c r="M14" s="8"/>
      <c r="N14" s="7"/>
    </row>
    <row r="15" customFormat="false" ht="15" hidden="false" customHeight="false" outlineLevel="0" collapsed="false">
      <c r="A15" s="7"/>
      <c r="B15" s="7"/>
      <c r="C15" s="8"/>
      <c r="D15" s="9"/>
      <c r="E15" s="7"/>
      <c r="F15" s="8"/>
      <c r="G15" s="10"/>
      <c r="H15" s="10"/>
      <c r="I15" s="10" t="n">
        <f aca="false">G15-H15</f>
        <v>0</v>
      </c>
      <c r="J15" s="10"/>
      <c r="K15" s="10" t="n">
        <f aca="false">G15-J15</f>
        <v>0</v>
      </c>
      <c r="L15" s="8"/>
      <c r="M15" s="8"/>
      <c r="N15" s="7"/>
    </row>
    <row r="16" customFormat="false" ht="15" hidden="false" customHeight="false" outlineLevel="0" collapsed="false">
      <c r="A16" s="7"/>
      <c r="B16" s="7"/>
      <c r="C16" s="8"/>
      <c r="D16" s="9"/>
      <c r="E16" s="7"/>
      <c r="F16" s="8"/>
      <c r="G16" s="10"/>
      <c r="H16" s="10"/>
      <c r="I16" s="10" t="n">
        <f aca="false">G16-H16</f>
        <v>0</v>
      </c>
      <c r="J16" s="10"/>
      <c r="K16" s="10" t="n">
        <f aca="false">G16-J16</f>
        <v>0</v>
      </c>
      <c r="L16" s="8"/>
      <c r="M16" s="8"/>
      <c r="N16" s="7"/>
    </row>
    <row r="17" customFormat="false" ht="15" hidden="false" customHeight="false" outlineLevel="0" collapsed="false">
      <c r="A17" s="7"/>
      <c r="B17" s="7"/>
      <c r="C17" s="8"/>
      <c r="D17" s="9"/>
      <c r="E17" s="7"/>
      <c r="F17" s="8"/>
      <c r="G17" s="10"/>
      <c r="H17" s="10"/>
      <c r="I17" s="10" t="n">
        <f aca="false">G17-H17</f>
        <v>0</v>
      </c>
      <c r="J17" s="10"/>
      <c r="K17" s="10" t="n">
        <f aca="false">G17-J17</f>
        <v>0</v>
      </c>
      <c r="L17" s="8"/>
      <c r="M17" s="8"/>
      <c r="N17" s="7"/>
    </row>
    <row r="18" customFormat="false" ht="15" hidden="false" customHeight="false" outlineLevel="0" collapsed="false">
      <c r="A18" s="7"/>
      <c r="B18" s="7"/>
      <c r="C18" s="8"/>
      <c r="D18" s="9"/>
      <c r="E18" s="7"/>
      <c r="F18" s="8"/>
      <c r="G18" s="10"/>
      <c r="H18" s="10"/>
      <c r="I18" s="10" t="n">
        <f aca="false">G18-H18</f>
        <v>0</v>
      </c>
      <c r="J18" s="10"/>
      <c r="K18" s="10" t="n">
        <f aca="false">G18-J18</f>
        <v>0</v>
      </c>
      <c r="L18" s="8"/>
      <c r="M18" s="8"/>
      <c r="N18" s="7"/>
    </row>
    <row r="19" customFormat="false" ht="15" hidden="false" customHeight="false" outlineLevel="0" collapsed="false">
      <c r="A19" s="7"/>
      <c r="B19" s="7"/>
      <c r="C19" s="8"/>
      <c r="D19" s="9"/>
      <c r="E19" s="7"/>
      <c r="F19" s="8"/>
      <c r="G19" s="10"/>
      <c r="H19" s="10"/>
      <c r="I19" s="10" t="n">
        <f aca="false">G19-H19</f>
        <v>0</v>
      </c>
      <c r="J19" s="10"/>
      <c r="K19" s="10" t="n">
        <f aca="false">G19-J19</f>
        <v>0</v>
      </c>
      <c r="L19" s="8"/>
      <c r="M19" s="8"/>
      <c r="N19" s="7"/>
    </row>
    <row r="20" customFormat="false" ht="15" hidden="false" customHeight="false" outlineLevel="0" collapsed="false">
      <c r="A20" s="7"/>
      <c r="B20" s="7"/>
      <c r="C20" s="8"/>
      <c r="D20" s="9"/>
      <c r="E20" s="7"/>
      <c r="F20" s="8"/>
      <c r="G20" s="10"/>
      <c r="H20" s="10"/>
      <c r="I20" s="10" t="n">
        <f aca="false">G20-H20</f>
        <v>0</v>
      </c>
      <c r="J20" s="10"/>
      <c r="K20" s="10" t="n">
        <f aca="false">G20-J20</f>
        <v>0</v>
      </c>
      <c r="L20" s="8"/>
      <c r="M20" s="8"/>
      <c r="N20" s="7"/>
    </row>
    <row r="21" customFormat="false" ht="15" hidden="false" customHeight="false" outlineLevel="0" collapsed="false">
      <c r="A21" s="7"/>
      <c r="B21" s="7"/>
      <c r="C21" s="8"/>
      <c r="D21" s="9"/>
      <c r="E21" s="7"/>
      <c r="F21" s="8"/>
      <c r="G21" s="10"/>
      <c r="H21" s="10"/>
      <c r="I21" s="10" t="n">
        <f aca="false">G21-H21</f>
        <v>0</v>
      </c>
      <c r="J21" s="10"/>
      <c r="K21" s="10" t="n">
        <f aca="false">G21-J21</f>
        <v>0</v>
      </c>
      <c r="L21" s="8"/>
      <c r="M21" s="8"/>
      <c r="N21" s="7"/>
    </row>
    <row r="22" customFormat="false" ht="15" hidden="false" customHeight="false" outlineLevel="0" collapsed="false">
      <c r="A22" s="7"/>
      <c r="B22" s="7"/>
      <c r="C22" s="8"/>
      <c r="D22" s="9"/>
      <c r="E22" s="7"/>
      <c r="F22" s="8"/>
      <c r="G22" s="10"/>
      <c r="H22" s="10"/>
      <c r="I22" s="10" t="n">
        <f aca="false">G22-H22</f>
        <v>0</v>
      </c>
      <c r="J22" s="10"/>
      <c r="K22" s="10" t="n">
        <f aca="false">G22-J22</f>
        <v>0</v>
      </c>
      <c r="L22" s="8"/>
      <c r="M22" s="8"/>
      <c r="N22" s="7"/>
    </row>
    <row r="23" customFormat="false" ht="15" hidden="false" customHeight="false" outlineLevel="0" collapsed="false">
      <c r="A23" s="7"/>
      <c r="B23" s="7"/>
      <c r="C23" s="8"/>
      <c r="D23" s="9"/>
      <c r="E23" s="7"/>
      <c r="F23" s="8"/>
      <c r="G23" s="10"/>
      <c r="H23" s="10"/>
      <c r="I23" s="10" t="n">
        <f aca="false">G23-H23</f>
        <v>0</v>
      </c>
      <c r="J23" s="10"/>
      <c r="K23" s="10" t="n">
        <f aca="false">G23-J23</f>
        <v>0</v>
      </c>
      <c r="L23" s="8"/>
      <c r="M23" s="8"/>
      <c r="N23" s="7"/>
    </row>
    <row r="24" customFormat="false" ht="15" hidden="false" customHeight="false" outlineLevel="0" collapsed="false">
      <c r="A24" s="7"/>
      <c r="B24" s="7"/>
      <c r="C24" s="8"/>
      <c r="D24" s="9"/>
      <c r="E24" s="7"/>
      <c r="F24" s="8"/>
      <c r="G24" s="10"/>
      <c r="H24" s="10"/>
      <c r="I24" s="10" t="n">
        <f aca="false">G24-H24</f>
        <v>0</v>
      </c>
      <c r="J24" s="10"/>
      <c r="K24" s="10" t="n">
        <f aca="false">G24-J24</f>
        <v>0</v>
      </c>
      <c r="L24" s="8"/>
      <c r="M24" s="8"/>
      <c r="N24" s="7"/>
    </row>
    <row r="25" customFormat="false" ht="15" hidden="false" customHeight="false" outlineLevel="0" collapsed="false">
      <c r="A25" s="7"/>
      <c r="B25" s="7"/>
      <c r="C25" s="8"/>
      <c r="D25" s="9"/>
      <c r="E25" s="7"/>
      <c r="F25" s="8"/>
      <c r="G25" s="10"/>
      <c r="H25" s="10"/>
      <c r="I25" s="10" t="n">
        <f aca="false">G25-H25</f>
        <v>0</v>
      </c>
      <c r="J25" s="10"/>
      <c r="K25" s="10" t="n">
        <f aca="false">G25-J25</f>
        <v>0</v>
      </c>
      <c r="L25" s="8"/>
      <c r="M25" s="8"/>
      <c r="N25" s="7"/>
    </row>
    <row r="26" customFormat="false" ht="15" hidden="false" customHeight="false" outlineLevel="0" collapsed="false">
      <c r="A26" s="7"/>
      <c r="B26" s="7"/>
      <c r="C26" s="8"/>
      <c r="D26" s="9"/>
      <c r="E26" s="7"/>
      <c r="F26" s="8"/>
      <c r="G26" s="10"/>
      <c r="H26" s="10"/>
      <c r="I26" s="10" t="n">
        <f aca="false">G26-H26</f>
        <v>0</v>
      </c>
      <c r="J26" s="10"/>
      <c r="K26" s="10" t="n">
        <f aca="false">G26-J26</f>
        <v>0</v>
      </c>
      <c r="L26" s="8"/>
      <c r="M26" s="8"/>
      <c r="N26" s="7"/>
    </row>
    <row r="27" customFormat="false" ht="15" hidden="false" customHeight="false" outlineLevel="0" collapsed="false">
      <c r="A27" s="7"/>
      <c r="B27" s="7"/>
      <c r="C27" s="8"/>
      <c r="D27" s="9"/>
      <c r="E27" s="7"/>
      <c r="F27" s="8"/>
      <c r="G27" s="10"/>
      <c r="H27" s="10"/>
      <c r="I27" s="10" t="n">
        <f aca="false">G27-H27</f>
        <v>0</v>
      </c>
      <c r="J27" s="10"/>
      <c r="K27" s="10" t="n">
        <f aca="false">G27-J27</f>
        <v>0</v>
      </c>
      <c r="L27" s="8"/>
      <c r="M27" s="8"/>
      <c r="N27" s="7"/>
    </row>
    <row r="28" customFormat="false" ht="15" hidden="false" customHeight="false" outlineLevel="0" collapsed="false">
      <c r="A28" s="7"/>
      <c r="B28" s="7"/>
      <c r="C28" s="8"/>
      <c r="D28" s="9"/>
      <c r="E28" s="7"/>
      <c r="F28" s="8"/>
      <c r="G28" s="10"/>
      <c r="H28" s="10"/>
      <c r="I28" s="10" t="n">
        <f aca="false">G28-H28</f>
        <v>0</v>
      </c>
      <c r="J28" s="10"/>
      <c r="K28" s="10" t="n">
        <f aca="false">G28-J28</f>
        <v>0</v>
      </c>
      <c r="L28" s="8"/>
      <c r="M28" s="8"/>
      <c r="N28" s="7"/>
    </row>
    <row r="29" customFormat="false" ht="15" hidden="false" customHeight="false" outlineLevel="0" collapsed="false">
      <c r="A29" s="7"/>
      <c r="B29" s="7"/>
      <c r="C29" s="8"/>
      <c r="D29" s="9"/>
      <c r="E29" s="7"/>
      <c r="F29" s="8"/>
      <c r="G29" s="10"/>
      <c r="H29" s="10"/>
      <c r="I29" s="10" t="n">
        <f aca="false">G29-H29</f>
        <v>0</v>
      </c>
      <c r="J29" s="10"/>
      <c r="K29" s="10" t="n">
        <f aca="false">G29-J29</f>
        <v>0</v>
      </c>
      <c r="L29" s="8"/>
      <c r="M29" s="8"/>
      <c r="N29" s="7"/>
    </row>
    <row r="30" customFormat="false" ht="15" hidden="false" customHeight="false" outlineLevel="0" collapsed="false">
      <c r="A30" s="7"/>
      <c r="B30" s="7"/>
      <c r="C30" s="8"/>
      <c r="D30" s="9"/>
      <c r="E30" s="7"/>
      <c r="F30" s="8"/>
      <c r="G30" s="10"/>
      <c r="H30" s="10"/>
      <c r="I30" s="10" t="n">
        <f aca="false">G30-H30</f>
        <v>0</v>
      </c>
      <c r="J30" s="10"/>
      <c r="K30" s="10" t="n">
        <f aca="false">G30-J30</f>
        <v>0</v>
      </c>
      <c r="L30" s="8"/>
      <c r="M30" s="8"/>
      <c r="N30" s="7"/>
    </row>
    <row r="31" customFormat="false" ht="15" hidden="false" customHeight="false" outlineLevel="0" collapsed="false">
      <c r="A31" s="7"/>
      <c r="B31" s="7"/>
      <c r="C31" s="8"/>
      <c r="D31" s="9"/>
      <c r="E31" s="7"/>
      <c r="F31" s="8"/>
      <c r="G31" s="10"/>
      <c r="H31" s="10"/>
      <c r="I31" s="10" t="n">
        <f aca="false">G31-H31</f>
        <v>0</v>
      </c>
      <c r="J31" s="10"/>
      <c r="K31" s="10" t="n">
        <f aca="false">G31-J31</f>
        <v>0</v>
      </c>
      <c r="L31" s="8"/>
      <c r="M31" s="8"/>
      <c r="N31" s="7"/>
    </row>
    <row r="32" customFormat="false" ht="15" hidden="false" customHeight="false" outlineLevel="0" collapsed="false">
      <c r="A32" s="7"/>
      <c r="B32" s="7"/>
      <c r="C32" s="8"/>
      <c r="D32" s="9"/>
      <c r="E32" s="7"/>
      <c r="F32" s="8"/>
      <c r="G32" s="10"/>
      <c r="H32" s="10"/>
      <c r="I32" s="10" t="n">
        <f aca="false">G32-H32</f>
        <v>0</v>
      </c>
      <c r="J32" s="10"/>
      <c r="K32" s="10" t="n">
        <f aca="false">G32-J32</f>
        <v>0</v>
      </c>
      <c r="L32" s="8"/>
      <c r="M32" s="8"/>
      <c r="N32" s="7"/>
    </row>
    <row r="33" customFormat="false" ht="15" hidden="false" customHeight="false" outlineLevel="0" collapsed="false">
      <c r="A33" s="7"/>
      <c r="B33" s="7"/>
      <c r="C33" s="8"/>
      <c r="D33" s="9"/>
      <c r="E33" s="7"/>
      <c r="F33" s="8"/>
      <c r="G33" s="10"/>
      <c r="H33" s="10"/>
      <c r="I33" s="10" t="n">
        <f aca="false">G33-H33</f>
        <v>0</v>
      </c>
      <c r="J33" s="10"/>
      <c r="K33" s="10" t="n">
        <f aca="false">G33-J33</f>
        <v>0</v>
      </c>
      <c r="L33" s="8"/>
      <c r="M33" s="8"/>
      <c r="N33" s="7"/>
    </row>
    <row r="34" customFormat="false" ht="15" hidden="false" customHeight="false" outlineLevel="0" collapsed="false">
      <c r="A34" s="7"/>
      <c r="B34" s="7"/>
      <c r="C34" s="8"/>
      <c r="D34" s="9"/>
      <c r="E34" s="7"/>
      <c r="F34" s="8"/>
      <c r="G34" s="10"/>
      <c r="H34" s="10"/>
      <c r="I34" s="10" t="n">
        <f aca="false">G34-H34</f>
        <v>0</v>
      </c>
      <c r="J34" s="10"/>
      <c r="K34" s="10" t="n">
        <f aca="false">G34-J34</f>
        <v>0</v>
      </c>
      <c r="L34" s="8"/>
      <c r="M34" s="8"/>
      <c r="N34" s="7"/>
    </row>
    <row r="35" customFormat="false" ht="15" hidden="false" customHeight="false" outlineLevel="0" collapsed="false">
      <c r="A35" s="7"/>
      <c r="B35" s="7"/>
      <c r="C35" s="8"/>
      <c r="D35" s="9"/>
      <c r="E35" s="7"/>
      <c r="F35" s="8"/>
      <c r="G35" s="10"/>
      <c r="H35" s="10"/>
      <c r="I35" s="10" t="n">
        <f aca="false">G35-H35</f>
        <v>0</v>
      </c>
      <c r="J35" s="10"/>
      <c r="K35" s="10" t="n">
        <f aca="false">G35-J35</f>
        <v>0</v>
      </c>
      <c r="L35" s="8"/>
      <c r="M35" s="8"/>
      <c r="N35" s="7"/>
    </row>
    <row r="36" customFormat="false" ht="15" hidden="false" customHeight="false" outlineLevel="0" collapsed="false">
      <c r="A36" s="7"/>
      <c r="B36" s="7"/>
      <c r="C36" s="8"/>
      <c r="D36" s="9"/>
      <c r="E36" s="7"/>
      <c r="F36" s="8"/>
      <c r="G36" s="10"/>
      <c r="H36" s="10"/>
      <c r="I36" s="10" t="n">
        <f aca="false">G36-H36</f>
        <v>0</v>
      </c>
      <c r="J36" s="10"/>
      <c r="K36" s="10" t="n">
        <f aca="false">G36-J36</f>
        <v>0</v>
      </c>
      <c r="L36" s="8"/>
      <c r="M36" s="8"/>
      <c r="N36" s="7"/>
    </row>
    <row r="37" customFormat="false" ht="15" hidden="false" customHeight="false" outlineLevel="0" collapsed="false">
      <c r="A37" s="7"/>
      <c r="B37" s="7"/>
      <c r="C37" s="8"/>
      <c r="D37" s="9"/>
      <c r="E37" s="7"/>
      <c r="F37" s="8"/>
      <c r="G37" s="10"/>
      <c r="H37" s="10"/>
      <c r="I37" s="10" t="n">
        <f aca="false">G37-H37</f>
        <v>0</v>
      </c>
      <c r="J37" s="10"/>
      <c r="K37" s="10" t="n">
        <f aca="false">G37-J37</f>
        <v>0</v>
      </c>
      <c r="L37" s="8"/>
      <c r="M37" s="8"/>
      <c r="N37" s="7"/>
    </row>
    <row r="38" customFormat="false" ht="15" hidden="false" customHeight="false" outlineLevel="0" collapsed="false">
      <c r="A38" s="7"/>
      <c r="B38" s="7"/>
      <c r="C38" s="8"/>
      <c r="D38" s="9"/>
      <c r="E38" s="7"/>
      <c r="F38" s="8"/>
      <c r="G38" s="10"/>
      <c r="H38" s="10"/>
      <c r="I38" s="10" t="n">
        <f aca="false">G38-H38</f>
        <v>0</v>
      </c>
      <c r="J38" s="10"/>
      <c r="K38" s="10" t="n">
        <f aca="false">G38-J38</f>
        <v>0</v>
      </c>
      <c r="L38" s="8"/>
      <c r="M38" s="8"/>
      <c r="N38" s="7"/>
    </row>
    <row r="39" customFormat="false" ht="15" hidden="false" customHeight="false" outlineLevel="0" collapsed="false">
      <c r="A39" s="7"/>
      <c r="B39" s="7"/>
      <c r="C39" s="8"/>
      <c r="D39" s="9"/>
      <c r="E39" s="7"/>
      <c r="F39" s="8"/>
      <c r="G39" s="10"/>
      <c r="H39" s="10"/>
      <c r="I39" s="10" t="n">
        <f aca="false">G39-H39</f>
        <v>0</v>
      </c>
      <c r="J39" s="10"/>
      <c r="K39" s="10" t="n">
        <f aca="false">G39-J39</f>
        <v>0</v>
      </c>
      <c r="L39" s="8"/>
      <c r="M39" s="8"/>
      <c r="N39" s="7"/>
    </row>
    <row r="40" customFormat="false" ht="15" hidden="false" customHeight="false" outlineLevel="0" collapsed="false">
      <c r="A40" s="7"/>
      <c r="B40" s="7"/>
      <c r="C40" s="8"/>
      <c r="D40" s="9"/>
      <c r="E40" s="7"/>
      <c r="F40" s="8"/>
      <c r="G40" s="10"/>
      <c r="H40" s="10"/>
      <c r="I40" s="10" t="n">
        <f aca="false">G40-H40</f>
        <v>0</v>
      </c>
      <c r="J40" s="10"/>
      <c r="K40" s="10" t="n">
        <f aca="false">G40-J40</f>
        <v>0</v>
      </c>
      <c r="L40" s="8"/>
      <c r="M40" s="8"/>
      <c r="N40" s="7"/>
    </row>
  </sheetData>
  <mergeCells count="2">
    <mergeCell ref="A1:L1"/>
    <mergeCell ref="A2:L2"/>
  </mergeCells>
  <dataValidations count="4">
    <dataValidation allowBlank="true" errorStyle="stop" operator="between" showDropDown="false" showErrorMessage="false" showInputMessage="false" sqref="C6:C40" type="list">
      <formula1>"Birthday,Marriage Proposal,Reconciliation,Other"</formula1>
      <formula2>0</formula2>
    </dataValidation>
    <dataValidation allowBlank="true" errorStyle="stop" operator="between" showDropDown="false" showErrorMessage="false" showInputMessage="false" sqref="F6:F40" type="list">
      <formula1>"Silver,Gold,Royal"</formula1>
      <formula2>0</formula2>
    </dataValidation>
    <dataValidation allowBlank="true" errorStyle="stop" operator="between" showDropDown="false" showErrorMessage="false" showInputMessage="false" sqref="L6:L40" type="list">
      <formula1>"Inquiry,Confirmed,Deposit Paid,Completed,Cancelled"</formula1>
      <formula2>0</formula2>
    </dataValidation>
    <dataValidation allowBlank="true" errorStyle="stop" operator="between" showDropDown="false" showErrorMessage="false" showInputMessage="false" sqref="M6:M40" type="list">
      <formula1>"Client,Emotion Box"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25.5" hidden="false" customHeight="true" outlineLevel="0" collapsed="false">
      <c r="A1" s="1" t="s">
        <v>25</v>
      </c>
      <c r="B1" s="1"/>
      <c r="C1" s="1"/>
      <c r="D1" s="1"/>
    </row>
    <row r="3" customFormat="false" ht="19.5" hidden="false" customHeight="true" outlineLevel="0" collapsed="false">
      <c r="A3" s="11" t="s">
        <v>26</v>
      </c>
      <c r="B3" s="12" t="n">
        <f aca="false">COUNTA(Clients!A6:A40)</f>
        <v>0</v>
      </c>
    </row>
    <row r="4" customFormat="false" ht="19.5" hidden="false" customHeight="true" outlineLevel="0" collapsed="false">
      <c r="A4" s="11" t="s">
        <v>27</v>
      </c>
      <c r="B4" s="12" t="n">
        <f aca="false">COUNTIF(Clients!L6:L40,"Confirmed")+COUNTIF(Clients!L6:L40,"Deposit Paid")+COUNTIF(Clients!L6:L40,"Completed")</f>
        <v>0</v>
      </c>
    </row>
    <row r="5" customFormat="false" ht="19.5" hidden="false" customHeight="true" outlineLevel="0" collapsed="false">
      <c r="A5" s="11" t="s">
        <v>28</v>
      </c>
      <c r="B5" s="12" t="n">
        <f aca="false">COUNTIF(Clients!L6:L40,"Completed")</f>
        <v>0</v>
      </c>
    </row>
    <row r="6" customFormat="false" ht="19.5" hidden="false" customHeight="true" outlineLevel="0" collapsed="false">
      <c r="A6" s="11" t="s">
        <v>29</v>
      </c>
      <c r="B6" s="13" t="n">
        <f aca="false">SUM(Clients!G6:G40)</f>
        <v>0</v>
      </c>
    </row>
    <row r="7" customFormat="false" ht="19.5" hidden="false" customHeight="true" outlineLevel="0" collapsed="false">
      <c r="A7" s="11" t="s">
        <v>30</v>
      </c>
      <c r="B7" s="13" t="n">
        <f aca="false">SUM(Clients!H6:H40)</f>
        <v>0</v>
      </c>
    </row>
    <row r="8" customFormat="false" ht="19.5" hidden="false" customHeight="true" outlineLevel="0" collapsed="false">
      <c r="A8" s="11" t="s">
        <v>31</v>
      </c>
      <c r="B8" s="13" t="n">
        <f aca="false">SUM(Clients!I6:I40)</f>
        <v>0</v>
      </c>
    </row>
    <row r="9" customFormat="false" ht="19.5" hidden="false" customHeight="true" outlineLevel="0" collapsed="false">
      <c r="A9" s="11" t="s">
        <v>32</v>
      </c>
      <c r="B9" s="13" t="n">
        <f aca="false">SUM(Clients!J6:J40)</f>
        <v>0</v>
      </c>
    </row>
    <row r="10" customFormat="false" ht="19.5" hidden="false" customHeight="true" outlineLevel="0" collapsed="false">
      <c r="A10" s="11" t="s">
        <v>33</v>
      </c>
      <c r="B10" s="13" t="n">
        <f aca="false">SUM(Clients!K6:K40)</f>
        <v>0</v>
      </c>
    </row>
    <row r="11" customFormat="false" ht="19.5" hidden="false" customHeight="true" outlineLevel="0" collapsed="false">
      <c r="A11" s="11" t="s">
        <v>34</v>
      </c>
      <c r="B11" s="12" t="n">
        <f aca="false">COUNTIF(Clients!F6:F40,"Silver")</f>
        <v>0</v>
      </c>
    </row>
    <row r="12" customFormat="false" ht="19.5" hidden="false" customHeight="true" outlineLevel="0" collapsed="false">
      <c r="A12" s="11" t="s">
        <v>35</v>
      </c>
      <c r="B12" s="12" t="n">
        <f aca="false">COUNTIF(Clients!F6:F40,"Gold")</f>
        <v>0</v>
      </c>
    </row>
    <row r="13" customFormat="false" ht="19.5" hidden="false" customHeight="true" outlineLevel="0" collapsed="false">
      <c r="A13" s="11" t="s">
        <v>36</v>
      </c>
      <c r="B13" s="12" t="n">
        <f aca="false">COUNTIF(Clients!F6:F40,"Royal")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42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11</v>
      </c>
    </row>
    <row r="5" customFormat="false" ht="33.75" hidden="false" customHeight="true" outlineLevel="0" collapsed="false">
      <c r="A5" s="14" t="s">
        <v>43</v>
      </c>
      <c r="B5" s="15" t="n">
        <v>165</v>
      </c>
      <c r="C5" s="15" t="n">
        <v>290</v>
      </c>
      <c r="D5" s="14" t="s">
        <v>44</v>
      </c>
      <c r="E5" s="15" t="n">
        <v>18</v>
      </c>
    </row>
    <row r="6" customFormat="false" ht="33.75" hidden="false" customHeight="true" outlineLevel="0" collapsed="false">
      <c r="A6" s="14" t="s">
        <v>21</v>
      </c>
      <c r="B6" s="15" t="n">
        <v>265</v>
      </c>
      <c r="C6" s="15" t="n">
        <v>400</v>
      </c>
      <c r="D6" s="14" t="s">
        <v>45</v>
      </c>
      <c r="E6" s="15" t="n">
        <v>35</v>
      </c>
    </row>
    <row r="7" customFormat="false" ht="33.75" hidden="false" customHeight="true" outlineLevel="0" collapsed="false">
      <c r="A7" s="14" t="s">
        <v>46</v>
      </c>
      <c r="B7" s="15" t="n">
        <v>425</v>
      </c>
      <c r="C7" s="15" t="n">
        <v>700</v>
      </c>
      <c r="D7" s="14" t="s">
        <v>47</v>
      </c>
      <c r="E7" s="15" t="n">
        <v>75</v>
      </c>
    </row>
    <row r="9" customFormat="false" ht="15" hidden="false" customHeight="false" outlineLevel="0" collapsed="false">
      <c r="A9" s="2" t="s">
        <v>48</v>
      </c>
      <c r="B9" s="2"/>
      <c r="C9" s="2"/>
      <c r="D9" s="2"/>
      <c r="E9" s="2"/>
    </row>
  </sheetData>
  <mergeCells count="3">
    <mergeCell ref="A1:E1"/>
    <mergeCell ref="A2:E2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2026-09-08T18:21:38Z</dcterms:created>
  <dc:creator>openpyxl</dc:creator>
  <dc:description/>
  <dc:language>en-US</dc:language>
  <cp:lastModifiedBy/>
  <dcterms:modified xsi:type="dcterms:W3CDTF">2026-09-08T18:21:38Z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